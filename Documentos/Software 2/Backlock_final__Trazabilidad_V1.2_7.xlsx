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walte\Downloads\"/>
    </mc:Choice>
  </mc:AlternateContent>
  <xr:revisionPtr revIDLastSave="0" documentId="13_ncr:1_{FFE2D357-2A4F-40FD-A51B-56EFED147E71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BackBlog" sheetId="1" r:id="rId1"/>
    <sheet name="Trazabilidad HyC" sheetId="2" r:id="rId2"/>
    <sheet name="Planificacion" sheetId="3" r:id="rId3"/>
    <sheet name="Burndown" sheetId="4" r:id="rId4"/>
  </sheets>
  <definedNames>
    <definedName name="_xlnm._FilterDatabase" localSheetId="0" hidden="1">BackBlog!$A$1:$G$30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4" l="1"/>
  <c r="D38" i="1"/>
  <c r="F10" i="4" l="1"/>
  <c r="F11" i="4"/>
  <c r="K11" i="1"/>
  <c r="H12" i="1"/>
  <c r="H10" i="1" l="1"/>
  <c r="F7" i="4"/>
  <c r="H9" i="1" l="1"/>
  <c r="E28" i="1" l="1"/>
  <c r="E5" i="4" l="1"/>
  <c r="F5" i="4" s="1"/>
  <c r="H5" i="4" l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</calcChain>
</file>

<file path=xl/sharedStrings.xml><?xml version="1.0" encoding="utf-8"?>
<sst xmlns="http://schemas.openxmlformats.org/spreadsheetml/2006/main" count="194" uniqueCount="83">
  <si>
    <t>Cliente</t>
  </si>
  <si>
    <t>Modificar cuenta</t>
  </si>
  <si>
    <t>Epicas</t>
  </si>
  <si>
    <t>Caracteristicas</t>
  </si>
  <si>
    <t>Historias</t>
  </si>
  <si>
    <t>Hacer uso de los servicios que ofrece la peluqueria</t>
  </si>
  <si>
    <t>Agendar una hora</t>
  </si>
  <si>
    <t>Catalogo de servicios</t>
  </si>
  <si>
    <t>Ver precios por cada uno de los diferentes servicios</t>
  </si>
  <si>
    <t>Conocer los metodos de pago</t>
  </si>
  <si>
    <t>Pagar via web</t>
  </si>
  <si>
    <t>Pagar de forma presencial</t>
  </si>
  <si>
    <t>Conocer al personal</t>
  </si>
  <si>
    <t>Actualizar datos personales</t>
  </si>
  <si>
    <t>Trabajador</t>
  </si>
  <si>
    <t>Modificar su cuenta</t>
  </si>
  <si>
    <t>Ingresar a su cuenta</t>
  </si>
  <si>
    <t>Actualizar su perfil de trabajo</t>
  </si>
  <si>
    <t>Administrador</t>
  </si>
  <si>
    <t>Obtener mayores ingresos</t>
  </si>
  <si>
    <t>Prioridad</t>
  </si>
  <si>
    <t xml:space="preserve">Rangos de Prioridad </t>
  </si>
  <si>
    <t>1 =  Mayor prioridad</t>
  </si>
  <si>
    <t xml:space="preserve">2 =  Media Prioridad </t>
  </si>
  <si>
    <t>3 =  Baja Prioridad</t>
  </si>
  <si>
    <t>Complejidad</t>
  </si>
  <si>
    <t>Modificar agenda en caso que uno o mas trabajadores no puedan asistir a su jornada laboral</t>
  </si>
  <si>
    <t>Total</t>
  </si>
  <si>
    <t>Crea su cuenta</t>
  </si>
  <si>
    <t>Ingresar a la pagina web de la peluqueria</t>
  </si>
  <si>
    <t>Ver los depositos previos de las reservas</t>
  </si>
  <si>
    <t>Mantener un control sobre las actualizacions que ocurren en la pagina web de la peluqueria(depositos, horas, entre otros)</t>
  </si>
  <si>
    <t>cambiar el nombre de usuario utilizado para iniciar sesión</t>
  </si>
  <si>
    <t>cambiar la contraseña de acceso a la sesión</t>
  </si>
  <si>
    <t>Generar un renombre de los trabajaos realizados en la peluqueria</t>
  </si>
  <si>
    <t>Ver la cantidad de trabajo que tiene al dia, según su agenda</t>
  </si>
  <si>
    <t>Cambiar los datos bancarios a la hora de hacer un deposito previo</t>
  </si>
  <si>
    <t>Ver los productos a utilizar en cada uno de los servicios</t>
  </si>
  <si>
    <t>Ver el tipo de servicio que ofrece el trabajador a la hora de realizar su tarea</t>
  </si>
  <si>
    <t>ver las calificaciones realizadas por otros clientes, y asi obtener un feedback con respecto al trabajo</t>
  </si>
  <si>
    <t>ver las calificaciones recibidas por los clientes y asi mismo obtener un feedback acerca de su trabajo</t>
  </si>
  <si>
    <t>Historias/Componentes</t>
  </si>
  <si>
    <t>X</t>
  </si>
  <si>
    <t>Cambiar la contraseña de acceso a la sesión</t>
  </si>
  <si>
    <t>Ver las calificaciones realizadas por otros clientes, y asi obtener un feedback con respecto al trabajo</t>
  </si>
  <si>
    <t>Ver las calificaciones recibidas por los clientes y asi mismo obtener un feedback acerca de su trabajo</t>
  </si>
  <si>
    <t>Cambiar el nombre de usuario utilizado para iniciar sesión</t>
  </si>
  <si>
    <t xml:space="preserve">Servicio web peluqueria </t>
  </si>
  <si>
    <t>Servicio al cliente</t>
  </si>
  <si>
    <t>Catalogo</t>
  </si>
  <si>
    <t>Reserva</t>
  </si>
  <si>
    <t>Servicio de peluquero</t>
  </si>
  <si>
    <t>Navegador</t>
  </si>
  <si>
    <t>Perfil de cliente (ingreso de datos)</t>
  </si>
  <si>
    <t>inicio de sesion de Cliente</t>
  </si>
  <si>
    <t>Perfil de cliente (modificacion de datos)</t>
  </si>
  <si>
    <t>Perfil de trabajador (Datos de trabajador)</t>
  </si>
  <si>
    <t>Perfil de trabajador(modificacion de datos)</t>
  </si>
  <si>
    <t>inicio de sesion de trabajador</t>
  </si>
  <si>
    <t>Objetivos del  Primer Sprint</t>
  </si>
  <si>
    <t>Detalle</t>
  </si>
  <si>
    <t>Cliente pueda iniciar sesion con su usuario y contraseña</t>
  </si>
  <si>
    <t>Ingreso de datos personales del cliente</t>
  </si>
  <si>
    <t>Modificacion de datos personales</t>
  </si>
  <si>
    <t>Trabajador pueda inicar sesion con su usuario y contraseña</t>
  </si>
  <si>
    <t>Ingreso de datos personales del trabajador</t>
  </si>
  <si>
    <t>Estado</t>
  </si>
  <si>
    <t>Finalizado</t>
  </si>
  <si>
    <t>En proceso</t>
  </si>
  <si>
    <t>Semanas</t>
  </si>
  <si>
    <t>Esperado</t>
  </si>
  <si>
    <t>Real</t>
  </si>
  <si>
    <t>obtener una referencia en cuanto a cada uno de los servicios ofrecidos por la peluqueria</t>
  </si>
  <si>
    <t>Diseño de la pagina</t>
  </si>
  <si>
    <t>Vistas de la pagina</t>
  </si>
  <si>
    <t>Membresia</t>
  </si>
  <si>
    <t>Obtener descuentos por frecuentar la peluqueria</t>
  </si>
  <si>
    <t>Cambiar los datos datos personales de la cuenta</t>
  </si>
  <si>
    <t>1, 2, 3, 4, 9, 10, 11, 13, 14</t>
  </si>
  <si>
    <t>5, 6, 12, 16, 21, 22, 23, 24, 25</t>
  </si>
  <si>
    <t>terminados</t>
  </si>
  <si>
    <t>sinterminar</t>
  </si>
  <si>
    <t>1,2,3,4,6,7,9,10,11,13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</si>
</sst>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7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/>
    <xf numFmtId="0" fontId="0" fillId="0" borderId="2" xfId="0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9" borderId="1" xfId="0" applyFill="1" applyBorder="1"/>
    <xf numFmtId="0" fontId="0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9" borderId="9" xfId="0" applyFill="1" applyBorder="1"/>
    <xf numFmtId="0" fontId="0" fillId="9" borderId="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</a:t>
            </a:r>
            <a:r>
              <a:rPr lang="es-CL" baseline="0"/>
              <a:t> Chart</a:t>
            </a:r>
            <a:endParaRPr lang="es-CL"/>
          </a:p>
        </c:rich>
      </c:tx>
      <c:layout>
        <c:manualLayout>
          <c:xMode val="edge"/>
          <c:yMode val="edge"/>
          <c:x val="0.35968044619422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Burndown!$E$4</c:f>
              <c:strCache>
                <c:ptCount val="1"/>
                <c:pt idx="0">
                  <c:v>Esperado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Burndown!$D$5:$D$16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Burndown!$E$5:$E$16</c:f>
              <c:numCache>
                <c:formatCode>0</c:formatCode>
                <c:ptCount val="12"/>
                <c:pt idx="0">
                  <c:v>349</c:v>
                </c:pt>
                <c:pt idx="1">
                  <c:v>317.27272727272725</c:v>
                </c:pt>
                <c:pt idx="2">
                  <c:v>285.5454545454545</c:v>
                </c:pt>
                <c:pt idx="3">
                  <c:v>253.81818181818178</c:v>
                </c:pt>
                <c:pt idx="4">
                  <c:v>222.09090909090907</c:v>
                </c:pt>
                <c:pt idx="5">
                  <c:v>190.36363636363635</c:v>
                </c:pt>
                <c:pt idx="6">
                  <c:v>158.63636363636363</c:v>
                </c:pt>
                <c:pt idx="7">
                  <c:v>126.90909090909091</c:v>
                </c:pt>
                <c:pt idx="8">
                  <c:v>95.181818181818187</c:v>
                </c:pt>
                <c:pt idx="9">
                  <c:v>63.45454545454546</c:v>
                </c:pt>
                <c:pt idx="10">
                  <c:v>31.727272727272734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5-4211-998E-BC06663636C5}"/>
            </c:ext>
          </c:extLst>
        </c:ser>
        <c:ser>
          <c:idx val="1"/>
          <c:order val="1"/>
          <c:tx>
            <c:strRef>
              <c:f>Burndown!$F$4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Burndown!$D$5:$D$16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Burndown!$F$5:$F$16</c:f>
              <c:numCache>
                <c:formatCode>General</c:formatCode>
                <c:ptCount val="12"/>
                <c:pt idx="0" formatCode="0">
                  <c:v>301</c:v>
                </c:pt>
                <c:pt idx="1">
                  <c:v>301</c:v>
                </c:pt>
                <c:pt idx="2">
                  <c:v>294</c:v>
                </c:pt>
                <c:pt idx="3">
                  <c:v>294</c:v>
                </c:pt>
                <c:pt idx="4">
                  <c:v>253</c:v>
                </c:pt>
                <c:pt idx="5">
                  <c:v>244</c:v>
                </c:pt>
                <c:pt idx="6">
                  <c:v>265</c:v>
                </c:pt>
                <c:pt idx="7">
                  <c:v>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45-4211-998E-BC066636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697440"/>
        <c:axId val="383776688"/>
      </c:lineChart>
      <c:catAx>
        <c:axId val="37969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semanas</a:t>
                </a:r>
              </a:p>
            </c:rich>
          </c:tx>
          <c:layout>
            <c:manualLayout>
              <c:xMode val="edge"/>
              <c:yMode val="edge"/>
              <c:x val="0.46388757655293089"/>
              <c:y val="0.80109358670591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3776688"/>
        <c:crosses val="autoZero"/>
        <c:auto val="1"/>
        <c:lblAlgn val="ctr"/>
        <c:lblOffset val="100"/>
        <c:noMultiLvlLbl val="0"/>
      </c:catAx>
      <c:valAx>
        <c:axId val="3837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puntos de Historia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969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</xdr:colOff>
      <xdr:row>4</xdr:row>
      <xdr:rowOff>9524</xdr:rowOff>
    </xdr:from>
    <xdr:to>
      <xdr:col>13</xdr:col>
      <xdr:colOff>23812</xdr:colOff>
      <xdr:row>20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9E9921-DCAC-4D1F-B159-64A88E648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0"/>
  <sheetViews>
    <sheetView zoomScale="90" zoomScaleNormal="90" workbookViewId="0">
      <selection activeCell="D39" sqref="D39"/>
    </sheetView>
  </sheetViews>
  <sheetFormatPr baseColWidth="10" defaultColWidth="9.109375" defaultRowHeight="14.4" x14ac:dyDescent="0.3"/>
  <cols>
    <col min="1" max="1" width="13.6640625" style="6" bestFit="1" customWidth="1"/>
    <col min="2" max="2" width="27.44140625" style="6" bestFit="1" customWidth="1"/>
    <col min="3" max="3" width="49.33203125" style="19" customWidth="1"/>
    <col min="4" max="4" width="36.6640625" style="7" customWidth="1"/>
    <col min="5" max="5" width="27.6640625" style="7" customWidth="1"/>
    <col min="6" max="6" width="12.6640625" style="43" customWidth="1"/>
    <col min="7" max="7" width="23.33203125" style="7" customWidth="1"/>
    <col min="8" max="8" width="6.44140625" style="7" customWidth="1"/>
    <col min="9" max="9" width="12.5546875" style="7" customWidth="1"/>
    <col min="10" max="16384" width="9.109375" style="7"/>
  </cols>
  <sheetData>
    <row r="1" spans="1:11" customFormat="1" x14ac:dyDescent="0.3">
      <c r="A1" s="2" t="s">
        <v>2</v>
      </c>
      <c r="B1" s="2" t="s">
        <v>3</v>
      </c>
      <c r="C1" s="16" t="s">
        <v>4</v>
      </c>
      <c r="D1" s="2" t="s">
        <v>20</v>
      </c>
      <c r="E1" s="2" t="s">
        <v>25</v>
      </c>
      <c r="F1" s="2" t="s">
        <v>66</v>
      </c>
      <c r="G1" s="41" t="s">
        <v>21</v>
      </c>
    </row>
    <row r="2" spans="1:11" customFormat="1" x14ac:dyDescent="0.3">
      <c r="A2" s="3" t="s">
        <v>0</v>
      </c>
      <c r="B2" s="1" t="s">
        <v>28</v>
      </c>
      <c r="C2" s="14" t="s">
        <v>29</v>
      </c>
      <c r="D2" s="1">
        <v>1</v>
      </c>
      <c r="E2" s="1">
        <v>30</v>
      </c>
      <c r="F2" s="1" t="s">
        <v>67</v>
      </c>
      <c r="G2" s="42" t="s">
        <v>22</v>
      </c>
    </row>
    <row r="3" spans="1:11" customFormat="1" x14ac:dyDescent="0.3">
      <c r="A3" s="3" t="s">
        <v>0</v>
      </c>
      <c r="B3" s="1" t="s">
        <v>6</v>
      </c>
      <c r="C3" s="14" t="s">
        <v>5</v>
      </c>
      <c r="D3" s="1">
        <v>2</v>
      </c>
      <c r="E3" s="1">
        <v>10</v>
      </c>
      <c r="F3" s="1" t="s">
        <v>67</v>
      </c>
      <c r="G3" s="42" t="s">
        <v>23</v>
      </c>
    </row>
    <row r="4" spans="1:11" customFormat="1" x14ac:dyDescent="0.3">
      <c r="A4" s="3" t="s">
        <v>0</v>
      </c>
      <c r="B4" s="1" t="s">
        <v>7</v>
      </c>
      <c r="C4" s="14" t="s">
        <v>8</v>
      </c>
      <c r="D4" s="1">
        <v>3</v>
      </c>
      <c r="E4" s="1">
        <v>6</v>
      </c>
      <c r="F4" s="1" t="s">
        <v>67</v>
      </c>
      <c r="G4" s="42" t="s">
        <v>24</v>
      </c>
    </row>
    <row r="5" spans="1:11" customFormat="1" ht="28.8" x14ac:dyDescent="0.3">
      <c r="A5" s="3" t="s">
        <v>0</v>
      </c>
      <c r="B5" s="1" t="s">
        <v>7</v>
      </c>
      <c r="C5" s="14" t="s">
        <v>72</v>
      </c>
      <c r="D5" s="1">
        <v>2</v>
      </c>
      <c r="E5" s="1">
        <v>10</v>
      </c>
      <c r="F5" s="1" t="s">
        <v>67</v>
      </c>
    </row>
    <row r="6" spans="1:11" customFormat="1" hidden="1" x14ac:dyDescent="0.3">
      <c r="A6" s="3" t="s">
        <v>0</v>
      </c>
      <c r="B6" s="1" t="s">
        <v>9</v>
      </c>
      <c r="C6" s="14" t="s">
        <v>10</v>
      </c>
      <c r="D6" s="1">
        <v>1</v>
      </c>
      <c r="E6" s="1">
        <v>30</v>
      </c>
      <c r="F6" s="1">
        <v>0</v>
      </c>
    </row>
    <row r="7" spans="1:11" customFormat="1" x14ac:dyDescent="0.3">
      <c r="A7" s="3" t="s">
        <v>0</v>
      </c>
      <c r="B7" s="1" t="s">
        <v>9</v>
      </c>
      <c r="C7" s="14" t="s">
        <v>11</v>
      </c>
      <c r="D7" s="1">
        <v>2</v>
      </c>
      <c r="E7" s="1">
        <v>7</v>
      </c>
      <c r="F7" s="1" t="s">
        <v>67</v>
      </c>
    </row>
    <row r="8" spans="1:11" customFormat="1" ht="28.8" x14ac:dyDescent="0.3">
      <c r="A8" s="3" t="s">
        <v>0</v>
      </c>
      <c r="B8" s="1" t="s">
        <v>12</v>
      </c>
      <c r="C8" s="14" t="s">
        <v>38</v>
      </c>
      <c r="D8" s="1">
        <v>1</v>
      </c>
      <c r="E8" s="1">
        <v>30</v>
      </c>
      <c r="F8" s="1" t="s">
        <v>67</v>
      </c>
    </row>
    <row r="9" spans="1:11" customFormat="1" ht="28.8" hidden="1" x14ac:dyDescent="0.3">
      <c r="A9" s="3" t="s">
        <v>0</v>
      </c>
      <c r="B9" s="1" t="s">
        <v>12</v>
      </c>
      <c r="C9" s="14" t="s">
        <v>39</v>
      </c>
      <c r="D9" s="1">
        <v>2</v>
      </c>
      <c r="E9" s="1">
        <v>10</v>
      </c>
      <c r="F9" s="1" t="s">
        <v>68</v>
      </c>
      <c r="H9">
        <f>E2+E4+E10+E11+E12+E14</f>
        <v>55</v>
      </c>
    </row>
    <row r="10" spans="1:11" customFormat="1" x14ac:dyDescent="0.3">
      <c r="A10" s="3" t="s">
        <v>0</v>
      </c>
      <c r="B10" s="1" t="s">
        <v>1</v>
      </c>
      <c r="C10" s="14" t="s">
        <v>13</v>
      </c>
      <c r="D10" s="1">
        <v>3</v>
      </c>
      <c r="E10" s="1">
        <v>4</v>
      </c>
      <c r="F10" s="1" t="s">
        <v>67</v>
      </c>
      <c r="H10">
        <f>E3+E15+E2+E11</f>
        <v>53</v>
      </c>
    </row>
    <row r="11" spans="1:11" customFormat="1" x14ac:dyDescent="0.3">
      <c r="A11" s="3" t="s">
        <v>0</v>
      </c>
      <c r="B11" s="1" t="s">
        <v>1</v>
      </c>
      <c r="C11" s="14" t="s">
        <v>33</v>
      </c>
      <c r="D11" s="1">
        <v>3</v>
      </c>
      <c r="E11" s="1">
        <v>4</v>
      </c>
      <c r="F11" s="1" t="s">
        <v>67</v>
      </c>
      <c r="K11">
        <f>(E2+E3+E4+E5+E10+E11+E12+E14+E15)</f>
        <v>84</v>
      </c>
    </row>
    <row r="12" spans="1:11" customFormat="1" x14ac:dyDescent="0.3">
      <c r="A12" s="3" t="s">
        <v>0</v>
      </c>
      <c r="B12" s="1" t="s">
        <v>1</v>
      </c>
      <c r="C12" s="14" t="s">
        <v>32</v>
      </c>
      <c r="D12" s="1">
        <v>3</v>
      </c>
      <c r="E12" s="1">
        <v>4</v>
      </c>
      <c r="F12" s="1" t="s">
        <v>67</v>
      </c>
      <c r="H12">
        <f>E4+E2+E10+E11+E12+E14+E18+E15+E19+E21+E27+E5+E3</f>
        <v>115</v>
      </c>
    </row>
    <row r="13" spans="1:11" customFormat="1" ht="28.8" hidden="1" x14ac:dyDescent="0.3">
      <c r="A13" s="3" t="s">
        <v>0</v>
      </c>
      <c r="B13" s="1" t="s">
        <v>1</v>
      </c>
      <c r="C13" s="14" t="s">
        <v>36</v>
      </c>
      <c r="D13" s="1">
        <v>2</v>
      </c>
      <c r="E13" s="1">
        <v>10</v>
      </c>
      <c r="F13" s="1">
        <v>0</v>
      </c>
    </row>
    <row r="14" spans="1:11" customFormat="1" x14ac:dyDescent="0.3">
      <c r="A14" s="3" t="s">
        <v>0</v>
      </c>
      <c r="B14" s="1" t="s">
        <v>73</v>
      </c>
      <c r="C14" s="14" t="s">
        <v>74</v>
      </c>
      <c r="D14" s="1">
        <v>2</v>
      </c>
      <c r="E14" s="1">
        <v>7</v>
      </c>
      <c r="F14" s="1" t="s">
        <v>67</v>
      </c>
    </row>
    <row r="15" spans="1:11" customFormat="1" x14ac:dyDescent="0.3">
      <c r="A15" s="3" t="s">
        <v>0</v>
      </c>
      <c r="B15" s="1" t="s">
        <v>75</v>
      </c>
      <c r="C15" s="14" t="s">
        <v>76</v>
      </c>
      <c r="D15" s="1">
        <v>2</v>
      </c>
      <c r="E15" s="1">
        <v>9</v>
      </c>
      <c r="F15" s="1" t="s">
        <v>68</v>
      </c>
    </row>
    <row r="16" spans="1:11" customFormat="1" ht="28.8" hidden="1" x14ac:dyDescent="0.3">
      <c r="A16" s="4" t="s">
        <v>14</v>
      </c>
      <c r="B16" s="1" t="s">
        <v>16</v>
      </c>
      <c r="C16" s="14" t="s">
        <v>35</v>
      </c>
      <c r="D16" s="1">
        <v>1</v>
      </c>
      <c r="E16" s="1">
        <v>30</v>
      </c>
      <c r="F16" s="1" t="s">
        <v>68</v>
      </c>
    </row>
    <row r="17" spans="1:10" customFormat="1" ht="28.8" hidden="1" x14ac:dyDescent="0.3">
      <c r="A17" s="4" t="s">
        <v>14</v>
      </c>
      <c r="B17" s="1" t="s">
        <v>16</v>
      </c>
      <c r="C17" s="14" t="s">
        <v>40</v>
      </c>
      <c r="D17" s="1">
        <v>3</v>
      </c>
      <c r="E17" s="1">
        <v>2</v>
      </c>
      <c r="F17" s="1">
        <v>0</v>
      </c>
    </row>
    <row r="18" spans="1:10" customFormat="1" hidden="1" x14ac:dyDescent="0.3">
      <c r="A18" s="4" t="s">
        <v>14</v>
      </c>
      <c r="B18" s="1" t="s">
        <v>1</v>
      </c>
      <c r="C18" s="14" t="s">
        <v>13</v>
      </c>
      <c r="D18" s="1">
        <v>2</v>
      </c>
      <c r="E18" s="1">
        <v>8</v>
      </c>
      <c r="F18" s="1" t="s">
        <v>68</v>
      </c>
    </row>
    <row r="19" spans="1:10" customFormat="1" hidden="1" x14ac:dyDescent="0.3">
      <c r="A19" s="4" t="s">
        <v>14</v>
      </c>
      <c r="B19" s="1" t="s">
        <v>1</v>
      </c>
      <c r="C19" s="14" t="s">
        <v>17</v>
      </c>
      <c r="D19" s="1">
        <v>2</v>
      </c>
      <c r="E19" s="1">
        <v>8</v>
      </c>
      <c r="F19" s="1" t="s">
        <v>68</v>
      </c>
    </row>
    <row r="20" spans="1:10" customFormat="1" hidden="1" x14ac:dyDescent="0.3">
      <c r="A20" s="4" t="s">
        <v>14</v>
      </c>
      <c r="B20" s="1" t="s">
        <v>73</v>
      </c>
      <c r="C20" s="14" t="s">
        <v>74</v>
      </c>
      <c r="D20" s="1">
        <v>2</v>
      </c>
      <c r="E20" s="1">
        <v>7</v>
      </c>
      <c r="F20" s="1" t="s">
        <v>68</v>
      </c>
    </row>
    <row r="21" spans="1:10" customFormat="1" hidden="1" x14ac:dyDescent="0.3">
      <c r="A21" s="5" t="s">
        <v>18</v>
      </c>
      <c r="B21" s="1" t="s">
        <v>15</v>
      </c>
      <c r="C21" s="14" t="s">
        <v>77</v>
      </c>
      <c r="D21" s="1">
        <v>2</v>
      </c>
      <c r="E21" s="1">
        <v>8</v>
      </c>
      <c r="F21" s="1" t="s">
        <v>68</v>
      </c>
    </row>
    <row r="22" spans="1:10" customFormat="1" hidden="1" x14ac:dyDescent="0.3">
      <c r="A22" s="5" t="s">
        <v>18</v>
      </c>
      <c r="B22" s="1" t="s">
        <v>15</v>
      </c>
      <c r="C22" s="14" t="s">
        <v>33</v>
      </c>
      <c r="D22" s="1">
        <v>2</v>
      </c>
      <c r="E22" s="1">
        <v>9</v>
      </c>
      <c r="F22" s="1">
        <v>0</v>
      </c>
    </row>
    <row r="23" spans="1:10" customFormat="1" hidden="1" x14ac:dyDescent="0.3">
      <c r="A23" s="5" t="s">
        <v>18</v>
      </c>
      <c r="B23" s="1" t="s">
        <v>15</v>
      </c>
      <c r="C23" s="14" t="s">
        <v>32</v>
      </c>
      <c r="D23" s="1">
        <v>2</v>
      </c>
      <c r="E23" s="1">
        <v>9</v>
      </c>
      <c r="F23" s="1">
        <v>0</v>
      </c>
    </row>
    <row r="24" spans="1:10" customFormat="1" ht="43.2" hidden="1" x14ac:dyDescent="0.3">
      <c r="A24" s="5" t="s">
        <v>18</v>
      </c>
      <c r="B24" s="1" t="s">
        <v>16</v>
      </c>
      <c r="C24" s="14" t="s">
        <v>31</v>
      </c>
      <c r="D24" s="1">
        <v>1</v>
      </c>
      <c r="E24" s="1">
        <v>30</v>
      </c>
      <c r="F24" s="1">
        <v>0</v>
      </c>
    </row>
    <row r="25" spans="1:10" customFormat="1" hidden="1" x14ac:dyDescent="0.3">
      <c r="A25" s="5" t="s">
        <v>18</v>
      </c>
      <c r="B25" s="1" t="s">
        <v>16</v>
      </c>
      <c r="C25" s="14" t="s">
        <v>30</v>
      </c>
      <c r="D25" s="1">
        <v>1</v>
      </c>
      <c r="E25" s="1">
        <v>30</v>
      </c>
      <c r="F25" s="1">
        <v>0</v>
      </c>
    </row>
    <row r="26" spans="1:10" customFormat="1" ht="28.8" hidden="1" x14ac:dyDescent="0.3">
      <c r="A26" s="12" t="s">
        <v>18</v>
      </c>
      <c r="B26" s="11" t="s">
        <v>16</v>
      </c>
      <c r="C26" s="13" t="s">
        <v>26</v>
      </c>
      <c r="D26" s="11">
        <v>1</v>
      </c>
      <c r="E26" s="11">
        <v>30</v>
      </c>
      <c r="F26" s="1">
        <v>0</v>
      </c>
    </row>
    <row r="27" spans="1:10" customFormat="1" hidden="1" x14ac:dyDescent="0.3">
      <c r="A27" s="12" t="s">
        <v>18</v>
      </c>
      <c r="B27" s="11" t="s">
        <v>73</v>
      </c>
      <c r="C27" s="13" t="s">
        <v>74</v>
      </c>
      <c r="D27" s="11">
        <v>2</v>
      </c>
      <c r="E27" s="11">
        <v>7</v>
      </c>
      <c r="F27" s="1" t="s">
        <v>68</v>
      </c>
    </row>
    <row r="28" spans="1:10" hidden="1" x14ac:dyDescent="0.3">
      <c r="A28" s="15" t="s">
        <v>27</v>
      </c>
      <c r="B28" s="8"/>
      <c r="C28" s="17"/>
      <c r="D28" s="10"/>
      <c r="E28" s="9">
        <f>SUM(E2:E27)</f>
        <v>349</v>
      </c>
      <c r="F28" s="1">
        <v>0</v>
      </c>
    </row>
    <row r="29" spans="1:10" hidden="1" x14ac:dyDescent="0.3">
      <c r="C29" s="18"/>
      <c r="I29" s="7" t="s">
        <v>81</v>
      </c>
      <c r="J29" s="7" t="s">
        <v>79</v>
      </c>
    </row>
    <row r="30" spans="1:10" hidden="1" x14ac:dyDescent="0.3">
      <c r="C30" s="18"/>
    </row>
    <row r="31" spans="1:10" x14ac:dyDescent="0.3">
      <c r="C31" s="18"/>
    </row>
    <row r="32" spans="1:10" x14ac:dyDescent="0.3">
      <c r="C32" s="18"/>
    </row>
    <row r="34" spans="4:10" ht="27" x14ac:dyDescent="0.3">
      <c r="J34" s="50"/>
    </row>
    <row r="36" spans="4:10" ht="27" x14ac:dyDescent="0.6">
      <c r="F36" s="43" t="s">
        <v>80</v>
      </c>
      <c r="G36" s="51" t="s">
        <v>78</v>
      </c>
    </row>
    <row r="38" spans="4:10" x14ac:dyDescent="0.3">
      <c r="D38" s="7">
        <f>E2+E3+E4+E5+E7+E8+E10+E11+E12+E14</f>
        <v>112</v>
      </c>
    </row>
    <row r="40" spans="4:10" x14ac:dyDescent="0.3">
      <c r="D40" s="7" t="s">
        <v>82</v>
      </c>
    </row>
  </sheetData>
  <autoFilter ref="A1:G30" xr:uid="{6D45DA41-954C-4E10-9ADF-4ED5A796B269}">
    <filterColumn colId="5">
      <filters>
        <filter val="Finalizado"/>
      </filters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B618-D1F4-4FBC-A891-D02B50430F28}">
  <dimension ref="A1:F23"/>
  <sheetViews>
    <sheetView workbookViewId="0">
      <selection activeCell="B20" sqref="B20"/>
    </sheetView>
  </sheetViews>
  <sheetFormatPr baseColWidth="10" defaultColWidth="11.44140625" defaultRowHeight="14.4" x14ac:dyDescent="0.3"/>
  <cols>
    <col min="1" max="1" width="43.33203125" customWidth="1"/>
    <col min="2" max="2" width="20.44140625" customWidth="1"/>
    <col min="3" max="3" width="18.109375" customWidth="1"/>
    <col min="4" max="4" width="17.109375" customWidth="1"/>
    <col min="5" max="5" width="18.5546875" customWidth="1"/>
  </cols>
  <sheetData>
    <row r="1" spans="1:6" x14ac:dyDescent="0.3">
      <c r="B1" s="28" t="s">
        <v>47</v>
      </c>
      <c r="C1" s="26"/>
      <c r="D1" s="26"/>
      <c r="E1" s="26"/>
      <c r="F1" s="31" t="s">
        <v>52</v>
      </c>
    </row>
    <row r="2" spans="1:6" ht="15" thickBot="1" x14ac:dyDescent="0.35">
      <c r="A2" s="21" t="s">
        <v>41</v>
      </c>
      <c r="B2" s="27" t="s">
        <v>48</v>
      </c>
      <c r="C2" s="24" t="s">
        <v>49</v>
      </c>
      <c r="D2" s="25" t="s">
        <v>50</v>
      </c>
      <c r="E2" s="29" t="s">
        <v>51</v>
      </c>
      <c r="F2" s="31" t="s">
        <v>52</v>
      </c>
    </row>
    <row r="3" spans="1:6" x14ac:dyDescent="0.3">
      <c r="A3" s="14" t="s">
        <v>29</v>
      </c>
      <c r="B3" s="22" t="s">
        <v>42</v>
      </c>
      <c r="C3" s="14" t="s">
        <v>42</v>
      </c>
      <c r="D3" s="23" t="s">
        <v>42</v>
      </c>
      <c r="E3" s="30" t="s">
        <v>42</v>
      </c>
      <c r="F3" s="1" t="s">
        <v>42</v>
      </c>
    </row>
    <row r="4" spans="1:6" x14ac:dyDescent="0.3">
      <c r="A4" s="14" t="s">
        <v>5</v>
      </c>
      <c r="B4" s="14"/>
      <c r="C4" s="14"/>
      <c r="D4" s="23"/>
      <c r="E4" s="30" t="s">
        <v>42</v>
      </c>
      <c r="F4" s="1"/>
    </row>
    <row r="5" spans="1:6" x14ac:dyDescent="0.3">
      <c r="A5" s="14" t="s">
        <v>8</v>
      </c>
      <c r="B5" s="14"/>
      <c r="C5" s="14" t="s">
        <v>42</v>
      </c>
      <c r="D5" s="23" t="s">
        <v>42</v>
      </c>
      <c r="E5" s="30"/>
      <c r="F5" s="1" t="s">
        <v>42</v>
      </c>
    </row>
    <row r="6" spans="1:6" ht="28.8" x14ac:dyDescent="0.3">
      <c r="A6" s="14" t="s">
        <v>37</v>
      </c>
      <c r="B6" s="14"/>
      <c r="C6" s="14"/>
      <c r="D6" s="23"/>
      <c r="E6" s="30" t="s">
        <v>42</v>
      </c>
      <c r="F6" s="1" t="s">
        <v>42</v>
      </c>
    </row>
    <row r="7" spans="1:6" x14ac:dyDescent="0.3">
      <c r="A7" s="14" t="s">
        <v>10</v>
      </c>
      <c r="B7" s="14"/>
      <c r="C7" s="14"/>
      <c r="D7" s="23" t="s">
        <v>42</v>
      </c>
      <c r="E7" s="30"/>
      <c r="F7" s="1" t="s">
        <v>42</v>
      </c>
    </row>
    <row r="8" spans="1:6" x14ac:dyDescent="0.3">
      <c r="A8" s="14" t="s">
        <v>11</v>
      </c>
      <c r="B8" s="14"/>
      <c r="C8" s="14"/>
      <c r="D8" s="23"/>
      <c r="E8" s="30"/>
      <c r="F8" s="1"/>
    </row>
    <row r="9" spans="1:6" ht="28.8" x14ac:dyDescent="0.3">
      <c r="A9" s="14" t="s">
        <v>38</v>
      </c>
      <c r="B9" s="14"/>
      <c r="C9" s="14"/>
      <c r="D9" s="23"/>
      <c r="E9" s="30" t="s">
        <v>42</v>
      </c>
      <c r="F9" s="1" t="s">
        <v>42</v>
      </c>
    </row>
    <row r="10" spans="1:6" ht="28.8" x14ac:dyDescent="0.3">
      <c r="A10" s="14" t="s">
        <v>44</v>
      </c>
      <c r="B10" s="14" t="s">
        <v>42</v>
      </c>
      <c r="C10" s="14"/>
      <c r="D10" s="23"/>
      <c r="E10" s="30"/>
      <c r="F10" s="1" t="s">
        <v>42</v>
      </c>
    </row>
    <row r="11" spans="1:6" x14ac:dyDescent="0.3">
      <c r="A11" s="14" t="s">
        <v>13</v>
      </c>
      <c r="B11" s="14"/>
      <c r="C11" s="14"/>
      <c r="D11" s="23"/>
      <c r="E11" s="30"/>
      <c r="F11" s="1" t="s">
        <v>42</v>
      </c>
    </row>
    <row r="12" spans="1:6" x14ac:dyDescent="0.3">
      <c r="A12" s="14" t="s">
        <v>43</v>
      </c>
      <c r="B12" s="14"/>
      <c r="C12" s="14"/>
      <c r="D12" s="23"/>
      <c r="E12" s="30"/>
      <c r="F12" s="1" t="s">
        <v>42</v>
      </c>
    </row>
    <row r="13" spans="1:6" ht="28.8" x14ac:dyDescent="0.3">
      <c r="A13" s="14" t="s">
        <v>46</v>
      </c>
      <c r="B13" s="14"/>
      <c r="C13" s="14"/>
      <c r="D13" s="23"/>
      <c r="E13" s="30"/>
      <c r="F13" s="1" t="s">
        <v>42</v>
      </c>
    </row>
    <row r="14" spans="1:6" ht="28.8" x14ac:dyDescent="0.3">
      <c r="A14" s="14" t="s">
        <v>36</v>
      </c>
      <c r="B14" s="14"/>
      <c r="C14" s="14"/>
      <c r="D14" s="23"/>
      <c r="E14" s="30"/>
      <c r="F14" s="1" t="s">
        <v>42</v>
      </c>
    </row>
    <row r="15" spans="1:6" ht="28.8" x14ac:dyDescent="0.3">
      <c r="A15" s="14" t="s">
        <v>35</v>
      </c>
      <c r="B15" s="14"/>
      <c r="C15" s="14"/>
      <c r="D15" s="23" t="s">
        <v>42</v>
      </c>
      <c r="E15" s="30" t="s">
        <v>42</v>
      </c>
      <c r="F15" s="1" t="s">
        <v>42</v>
      </c>
    </row>
    <row r="16" spans="1:6" ht="28.8" x14ac:dyDescent="0.3">
      <c r="A16" s="14" t="s">
        <v>45</v>
      </c>
      <c r="B16" s="14"/>
      <c r="C16" s="14"/>
      <c r="D16" s="23"/>
      <c r="E16" s="30"/>
      <c r="F16" s="1" t="s">
        <v>42</v>
      </c>
    </row>
    <row r="17" spans="1:6" x14ac:dyDescent="0.3">
      <c r="A17" s="14" t="s">
        <v>17</v>
      </c>
      <c r="B17" s="14"/>
      <c r="C17" s="14"/>
      <c r="D17" s="23"/>
      <c r="E17" s="30"/>
      <c r="F17" s="1" t="s">
        <v>42</v>
      </c>
    </row>
    <row r="18" spans="1:6" x14ac:dyDescent="0.3">
      <c r="A18" s="14" t="s">
        <v>19</v>
      </c>
      <c r="B18" s="14"/>
      <c r="C18" s="14"/>
      <c r="D18" s="23"/>
      <c r="E18" s="30"/>
      <c r="F18" s="1" t="s">
        <v>42</v>
      </c>
    </row>
    <row r="19" spans="1:6" ht="28.8" x14ac:dyDescent="0.3">
      <c r="A19" s="14" t="s">
        <v>34</v>
      </c>
      <c r="B19" s="14"/>
      <c r="C19" s="14"/>
      <c r="D19" s="23"/>
      <c r="E19" s="30"/>
      <c r="F19" s="1"/>
    </row>
    <row r="20" spans="1:6" ht="43.2" x14ac:dyDescent="0.3">
      <c r="A20" s="14" t="s">
        <v>31</v>
      </c>
      <c r="B20" s="14"/>
      <c r="C20" s="14"/>
      <c r="D20" s="23"/>
      <c r="E20" s="30"/>
      <c r="F20" s="1" t="s">
        <v>42</v>
      </c>
    </row>
    <row r="21" spans="1:6" x14ac:dyDescent="0.3">
      <c r="A21" s="14" t="s">
        <v>30</v>
      </c>
      <c r="B21" s="14"/>
      <c r="C21" s="14"/>
      <c r="D21" s="23" t="s">
        <v>42</v>
      </c>
      <c r="E21" s="30"/>
      <c r="F21" s="1" t="s">
        <v>42</v>
      </c>
    </row>
    <row r="22" spans="1:6" ht="28.8" x14ac:dyDescent="0.3">
      <c r="A22" s="13" t="s">
        <v>26</v>
      </c>
      <c r="B22" s="14"/>
      <c r="C22" s="14"/>
      <c r="D22" s="23" t="s">
        <v>42</v>
      </c>
      <c r="E22" s="30"/>
      <c r="F22" s="1" t="s">
        <v>42</v>
      </c>
    </row>
    <row r="23" spans="1:6" x14ac:dyDescent="0.3">
      <c r="E23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A630-F9B4-49D7-8BA7-82868138784B}">
  <dimension ref="A1:E12"/>
  <sheetViews>
    <sheetView workbookViewId="0">
      <selection activeCell="F5" sqref="F5"/>
    </sheetView>
  </sheetViews>
  <sheetFormatPr baseColWidth="10" defaultColWidth="11.44140625" defaultRowHeight="14.4" x14ac:dyDescent="0.3"/>
  <cols>
    <col min="1" max="1" width="39.88671875" bestFit="1" customWidth="1"/>
    <col min="2" max="2" width="39.88671875" style="32" customWidth="1"/>
    <col min="3" max="3" width="11.44140625" style="32"/>
  </cols>
  <sheetData>
    <row r="1" spans="1:5" x14ac:dyDescent="0.3">
      <c r="A1" s="33" t="s">
        <v>59</v>
      </c>
      <c r="B1" s="33" t="s">
        <v>60</v>
      </c>
      <c r="C1" s="33" t="s">
        <v>20</v>
      </c>
    </row>
    <row r="2" spans="1:5" ht="28.8" x14ac:dyDescent="0.3">
      <c r="A2" s="34" t="s">
        <v>54</v>
      </c>
      <c r="B2" s="37" t="s">
        <v>61</v>
      </c>
      <c r="C2" s="37">
        <v>1</v>
      </c>
    </row>
    <row r="3" spans="1:5" x14ac:dyDescent="0.3">
      <c r="A3" s="34" t="s">
        <v>53</v>
      </c>
      <c r="B3" s="37" t="s">
        <v>62</v>
      </c>
      <c r="C3" s="37">
        <v>2</v>
      </c>
    </row>
    <row r="4" spans="1:5" x14ac:dyDescent="0.3">
      <c r="A4" s="34" t="s">
        <v>55</v>
      </c>
      <c r="B4" s="37" t="s">
        <v>63</v>
      </c>
      <c r="C4" s="37">
        <v>3</v>
      </c>
    </row>
    <row r="5" spans="1:5" ht="28.8" x14ac:dyDescent="0.3">
      <c r="A5" s="35" t="s">
        <v>58</v>
      </c>
      <c r="B5" s="38" t="s">
        <v>64</v>
      </c>
      <c r="C5" s="38">
        <v>1</v>
      </c>
    </row>
    <row r="6" spans="1:5" x14ac:dyDescent="0.3">
      <c r="A6" s="35" t="s">
        <v>56</v>
      </c>
      <c r="B6" s="38" t="s">
        <v>65</v>
      </c>
      <c r="C6" s="38">
        <v>2</v>
      </c>
      <c r="E6" s="32"/>
    </row>
    <row r="7" spans="1:5" x14ac:dyDescent="0.3">
      <c r="A7" s="45" t="s">
        <v>57</v>
      </c>
      <c r="B7" s="46" t="s">
        <v>63</v>
      </c>
      <c r="C7" s="46">
        <v>3</v>
      </c>
    </row>
    <row r="8" spans="1:5" x14ac:dyDescent="0.3">
      <c r="A8" s="7"/>
      <c r="B8" s="47"/>
      <c r="C8" s="47"/>
    </row>
    <row r="9" spans="1:5" x14ac:dyDescent="0.3">
      <c r="A9" s="48" t="s">
        <v>21</v>
      </c>
      <c r="B9" s="39"/>
    </row>
    <row r="10" spans="1:5" x14ac:dyDescent="0.3">
      <c r="A10" s="49" t="s">
        <v>22</v>
      </c>
      <c r="B10" s="40"/>
    </row>
    <row r="11" spans="1:5" x14ac:dyDescent="0.3">
      <c r="A11" s="36" t="s">
        <v>23</v>
      </c>
      <c r="B11" s="40"/>
    </row>
    <row r="12" spans="1:5" x14ac:dyDescent="0.3">
      <c r="A12" s="36" t="s">
        <v>24</v>
      </c>
      <c r="B12" s="40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EF9A-8AD0-455E-B4C7-102EF1171BA0}">
  <dimension ref="D4:H16"/>
  <sheetViews>
    <sheetView tabSelected="1" topLeftCell="C1" workbookViewId="0">
      <selection activeCell="F13" sqref="F13"/>
    </sheetView>
  </sheetViews>
  <sheetFormatPr baseColWidth="10" defaultColWidth="11.44140625" defaultRowHeight="14.4" x14ac:dyDescent="0.3"/>
  <cols>
    <col min="5" max="5" width="17.33203125" bestFit="1" customWidth="1"/>
    <col min="6" max="6" width="17.6640625" customWidth="1"/>
    <col min="7" max="7" width="17.44140625" bestFit="1" customWidth="1"/>
  </cols>
  <sheetData>
    <row r="4" spans="4:8" x14ac:dyDescent="0.3">
      <c r="D4" s="1" t="s">
        <v>69</v>
      </c>
      <c r="E4" s="1" t="s">
        <v>70</v>
      </c>
      <c r="F4" s="1" t="s">
        <v>71</v>
      </c>
    </row>
    <row r="5" spans="4:8" x14ac:dyDescent="0.3">
      <c r="D5" s="1">
        <v>1</v>
      </c>
      <c r="E5" s="44">
        <f>BackBlog!E28</f>
        <v>349</v>
      </c>
      <c r="F5" s="44">
        <f>E5-48</f>
        <v>301</v>
      </c>
      <c r="H5">
        <f>+E5/11</f>
        <v>31.727272727272727</v>
      </c>
    </row>
    <row r="6" spans="4:8" x14ac:dyDescent="0.3">
      <c r="D6" s="1">
        <v>2</v>
      </c>
      <c r="E6" s="44">
        <f t="shared" ref="E6:E15" si="0">+E5-$H$5</f>
        <v>317.27272727272725</v>
      </c>
      <c r="F6" s="1">
        <v>301</v>
      </c>
    </row>
    <row r="7" spans="4:8" x14ac:dyDescent="0.3">
      <c r="D7" s="1">
        <v>3</v>
      </c>
      <c r="E7" s="44">
        <f t="shared" si="0"/>
        <v>285.5454545454545</v>
      </c>
      <c r="F7" s="1">
        <f>349-55</f>
        <v>294</v>
      </c>
    </row>
    <row r="8" spans="4:8" x14ac:dyDescent="0.3">
      <c r="D8" s="1">
        <v>4</v>
      </c>
      <c r="E8" s="44">
        <f t="shared" si="0"/>
        <v>253.81818181818178</v>
      </c>
      <c r="F8" s="1">
        <v>294</v>
      </c>
    </row>
    <row r="9" spans="4:8" x14ac:dyDescent="0.3">
      <c r="D9" s="1">
        <v>5</v>
      </c>
      <c r="E9" s="44">
        <f t="shared" si="0"/>
        <v>222.09090909090907</v>
      </c>
      <c r="F9" s="1">
        <v>253</v>
      </c>
    </row>
    <row r="10" spans="4:8" x14ac:dyDescent="0.3">
      <c r="D10" s="1">
        <v>6</v>
      </c>
      <c r="E10" s="44">
        <f t="shared" si="0"/>
        <v>190.36363636363635</v>
      </c>
      <c r="F10" s="1">
        <f>349-105</f>
        <v>244</v>
      </c>
    </row>
    <row r="11" spans="4:8" x14ac:dyDescent="0.3">
      <c r="D11" s="1">
        <v>7</v>
      </c>
      <c r="E11" s="44">
        <f t="shared" si="0"/>
        <v>158.63636363636363</v>
      </c>
      <c r="F11" s="1">
        <f>349-84</f>
        <v>265</v>
      </c>
    </row>
    <row r="12" spans="4:8" x14ac:dyDescent="0.3">
      <c r="D12" s="1">
        <v>8</v>
      </c>
      <c r="E12" s="44">
        <f t="shared" si="0"/>
        <v>126.90909090909091</v>
      </c>
      <c r="F12" s="1">
        <f>349-112</f>
        <v>237</v>
      </c>
    </row>
    <row r="13" spans="4:8" x14ac:dyDescent="0.3">
      <c r="D13" s="1">
        <v>9</v>
      </c>
      <c r="E13" s="44">
        <f t="shared" si="0"/>
        <v>95.181818181818187</v>
      </c>
      <c r="F13" s="1"/>
    </row>
    <row r="14" spans="4:8" x14ac:dyDescent="0.3">
      <c r="D14" s="1">
        <v>10</v>
      </c>
      <c r="E14" s="44">
        <f t="shared" si="0"/>
        <v>63.45454545454546</v>
      </c>
      <c r="F14" s="1"/>
    </row>
    <row r="15" spans="4:8" x14ac:dyDescent="0.3">
      <c r="D15" s="1">
        <v>11</v>
      </c>
      <c r="E15" s="44">
        <f t="shared" si="0"/>
        <v>31.727272727272734</v>
      </c>
      <c r="F15" s="1"/>
    </row>
    <row r="16" spans="4:8" x14ac:dyDescent="0.3">
      <c r="D16" s="1">
        <v>12</v>
      </c>
      <c r="E16" s="44">
        <f>+E15-$H$5</f>
        <v>0</v>
      </c>
      <c r="F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BackBlog</vt:lpstr>
      <vt:lpstr>Trazabilidad HyC</vt:lpstr>
      <vt:lpstr>Planificacion</vt:lpstr>
      <vt:lpstr>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Walter Caceres</cp:lastModifiedBy>
  <dcterms:created xsi:type="dcterms:W3CDTF">2015-06-05T18:19:34Z</dcterms:created>
  <dcterms:modified xsi:type="dcterms:W3CDTF">2020-11-05T16:23:32Z</dcterms:modified>
</cp:coreProperties>
</file>